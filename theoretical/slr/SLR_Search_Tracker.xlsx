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verview" sheetId="1" state="visible" r:id="rId3"/>
    <sheet name="Mendeley state" sheetId="2" state="visible" r:id="rId4"/>
    <sheet name="STAR roster"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<sst xmlns="http://schemas.openxmlformats.org/spreadsheetml/2006/main" count="84" uniqueCount="60">
  <si>
    <t xml:space="preserve">SLR Search Tracker — Architecture-Aware Software Metrics &amp; AI-Supported Quality</t>
  </si>
  <si>
    <t xml:space="preserve">Candidate: Aleff Rodrigues  ·  Supervisors: José Pereira dos Reis, Vítor Bastos  ·  Iscte-IUL  ·  Search-string V3</t>
  </si>
  <si>
    <t xml:space="preserve">⚠ v2 (24/05/2026): tag parser fixed for nested STAR; 77 duplicates removed; MDPI/Wiley reassigned to Scopus</t>
  </si>
  <si>
    <t xml:space="preserve">Database</t>
  </si>
  <si>
    <t xml:space="preserve">Search URL / how to access</t>
  </si>
  <si>
    <t xml:space="preserve">Raw hits
(Phase 1)</t>
  </si>
  <si>
    <t xml:space="preserve">In Mendeley
(after dedup)</t>
  </si>
  <si>
    <t xml:space="preserve">Untagged
(to screen)</t>
  </si>
  <si>
    <t xml:space="preserve">phase1_exc</t>
  </si>
  <si>
    <t xml:space="preserve">phase1_inc</t>
  </si>
  <si>
    <t xml:space="preserve">★ STAR</t>
  </si>
  <si>
    <t xml:space="preserve">Pass Phase 4
(target)</t>
  </si>
  <si>
    <t xml:space="preserve">% retained</t>
  </si>
  <si>
    <t xml:space="preserve">ACM</t>
  </si>
  <si>
    <t xml:space="preserve">https://dl.acm.org/action/doSearch?AllField=...&amp;AfterYear=2014&amp;BeforeYear=2026</t>
  </si>
  <si>
    <t xml:space="preserve">TBC</t>
  </si>
  <si>
    <t xml:space="preserve">IEEE</t>
  </si>
  <si>
    <t xml:space="preserve">https://ieeexplore.ieee.org/search/searchresult.jsp?queryText=...&amp;ranges=2014_2026_Year</t>
  </si>
  <si>
    <t xml:space="preserve">Springer</t>
  </si>
  <si>
    <t xml:space="preserve">https://link.springer.com/search?query=...  (use Run A + Run B)</t>
  </si>
  <si>
    <t xml:space="preserve">ScienceDirect</t>
  </si>
  <si>
    <t xml:space="preserve">https://www.sciencedirect.com/search?qs=...  (use Run A + Run B)</t>
  </si>
  <si>
    <t xml:space="preserve">Scopus</t>
  </si>
  <si>
    <t xml:space="preserve">https://www.scopus.com/results/results.uri?s=TITLE-ABS-KEY(...)</t>
  </si>
  <si>
    <t xml:space="preserve">WoS</t>
  </si>
  <si>
    <t xml:space="preserve">https://www.webofscience.com/wos/woscc/basic-search  (paste TS=(…) query)</t>
  </si>
  <si>
    <t xml:space="preserve">TOTAL</t>
  </si>
  <si>
    <t xml:space="preserve">436 raw → 359 unique  (77 duplicates removed)</t>
  </si>
  <si>
    <t xml:space="preserve">How to use this tracker (v2 — corrected)</t>
  </si>
  <si>
    <t xml:space="preserve">1.  Open the mendeley_per_database/ folder in your workspace. There is one .xml file per database (ACM, IEEE, Springer, ScienceDirect, Scopus).</t>
  </si>
  <si>
    <t xml:space="preserve">2.  In Mendeley, create one folder per database (SLR/ACM, SLR/IEEE, …). Then File → Import → select the matching .xml file. Mendeley will preserve your existing tags (phase1_exc / phase1_inc / phase1_inc--star--).</t>
  </si>
  <si>
    <t xml:space="preserve">3.  Open the Search URLs &amp; Workflow .md document for the clickable search URLs of each database. Re-run each search to find post-2024 papers not yet in the corpus.</t>
  </si>
  <si>
    <t xml:space="preserve">4.  Fill the "Raw hits (Phase 1)" column with the per-database hit count returned by the live search — this is the number that goes into Table 3 of §3.2.4 of the SLR.</t>
  </si>
  <si>
    <t xml:space="preserve">5.  IMPORTANT — WoS: the export.xml had no entries that could be confidently identified as coming from Web of Science (the script defaulted ambiguous ones to Scopus). If you remember which entries came from WoS, re-tag them manually in Mendeley.</t>
  </si>
  <si>
    <t xml:space="preserve">6.  STAR records are kept in the same .xml files where their phase1_inc record lives. The 6 STARs after dedup are distributed: ACM (2), IEEE (1), Springer (1), Scopus (2).</t>
  </si>
  <si>
    <t xml:space="preserve">Current state — after dedup and tag fix (24/05/2026)</t>
  </si>
  <si>
    <t xml:space="preserve">untagged</t>
  </si>
  <si>
    <t xml:space="preserve">% screened</t>
  </si>
  <si>
    <t xml:space="preserve">TOTAL (unique)</t>
  </si>
  <si>
    <t xml:space="preserve">Deduplication detail</t>
  </si>
  <si>
    <t xml:space="preserve">Total raw entries in export.xml: 436</t>
  </si>
  <si>
    <t xml:space="preserve">Unique after deduplication: 359</t>
  </si>
  <si>
    <t xml:space="preserve">Duplicates removed: 77   (54 by exact DOI, 23 by normalized title)</t>
  </si>
  <si>
    <t xml:space="preserve">Examples of dups removed: Cito2015 (had two STAR copies → collapsed to one), Cortellessa2025 (3 copies → 1), Wang2022, Yakovlev2020, Sooksatra2024, Tam2023, Yang2026.</t>
  </si>
  <si>
    <t xml:space="preserve">The corresponding entries are deduped within each per-database .xml — you will not see them as duplicates after import.</t>
  </si>
  <si>
    <t xml:space="preserve">Full list available at mendeley_per_database/duplicates_report.txt</t>
  </si>
  <si>
    <t xml:space="preserve">STAR candidates after dedup (6 unique records)</t>
  </si>
  <si>
    <t xml:space="preserve">Title</t>
  </si>
  <si>
    <t xml:space="preserve">Year</t>
  </si>
  <si>
    <t xml:space="preserve">Towards a Methodology and Framework for AI Sustainability Metrics</t>
  </si>
  <si>
    <t xml:space="preserve">2023</t>
  </si>
  <si>
    <t xml:space="preserve">Introducing Interactions in Multi-Objective Optimization of Software Architectures</t>
  </si>
  <si>
    <t xml:space="preserve">2025</t>
  </si>
  <si>
    <t xml:space="preserve">Graph Neural Network-Based SLO-Aware Proactive Resource Autoscaling Framework for Microservices</t>
  </si>
  <si>
    <t xml:space="preserve">2024</t>
  </si>
  <si>
    <t xml:space="preserve">Runtime metric meets developer - Building better cloud applications using feedback</t>
  </si>
  <si>
    <t xml:space="preserve">2015</t>
  </si>
  <si>
    <t xml:space="preserve">Learning to Simplify Distributed Systems Management</t>
  </si>
  <si>
    <t xml:space="preserve">2018</t>
  </si>
  <si>
    <t xml:space="preserve">A metamodeling approach for the identification of organizational smells in multi-agent systems: application to ASPECS</t>
  </si>
</sst>
</file>

<file path=xl/styles.xml><?xml version="1.0" encoding="utf-8"?>
<styleSheet xmlns="http://schemas.openxmlformats.org/spreadsheetml/2006/main">
  <numFmts count="2">
    <numFmt numFmtId="164" formatCode="General"/>
    <numFmt numFmtId="165" formatCode="0.0%"/>
  </numFmts>
  <fonts count="15">
    <font>
      <sz val="11"/>
      <color theme="1"/>
      <name val="Calibri"/>
      <family val="2"/>
      <charset val="1"/>
    </font>
    <font>
      <sz val="10"/>
      <name val="Arial"/>
      <family val="0"/>
    </font>
    <font>
      <sz val="10"/>
      <name val="Arial"/>
      <family val="0"/>
    </font>
    <font>
      <sz val="10"/>
      <name val="Arial"/>
      <family val="0"/>
    </font>
    <font>
      <b val="true"/>
      <sz val="14"/>
      <color rgb="FF000000"/>
      <name val="Arial"/>
      <family val="0"/>
      <charset val="1"/>
    </font>
    <font>
      <sz val="10"/>
      <color rgb="FF000000"/>
      <name val="Arial"/>
      <family val="0"/>
      <charset val="1"/>
    </font>
    <font>
      <b val="true"/>
      <sz val="10"/>
      <color rgb="FFB05000"/>
      <name val="Arial"/>
      <family val="0"/>
      <charset val="1"/>
    </font>
    <font>
      <b val="true"/>
      <sz val="10"/>
      <color rgb="FFFFFFFF"/>
      <name val="Arial"/>
      <family val="0"/>
      <charset val="1"/>
    </font>
    <font>
      <b val="true"/>
      <sz val="10"/>
      <color rgb="FF000000"/>
      <name val="Arial"/>
      <family val="0"/>
      <charset val="1"/>
    </font>
    <font>
      <u val="single"/>
      <sz val="9"/>
      <color rgb="FF0563C1"/>
      <name val="Arial"/>
      <family val="0"/>
      <charset val="1"/>
    </font>
    <font>
      <sz val="10"/>
      <color rgb="FFB05000"/>
      <name val="Arial"/>
      <family val="0"/>
      <charset val="1"/>
    </font>
    <font>
      <b val="true"/>
      <sz val="10"/>
      <color rgb="FFC75600"/>
      <name val="Arial"/>
      <family val="0"/>
      <charset val="1"/>
    </font>
    <font>
      <sz val="10"/>
      <color rgb="FF666666"/>
      <name val="Arial"/>
      <family val="0"/>
      <charset val="1"/>
    </font>
    <font>
      <sz val="10"/>
      <color rgb="FF999999"/>
      <name val="Arial"/>
      <family val="0"/>
      <charset val="1"/>
    </font>
    <font>
      <b val="true"/>
      <sz val="12"/>
      <color rgb="FF1F3A5F"/>
      <name val="Arial"/>
      <family val="0"/>
      <charset val="1"/>
    </font>
  </fonts>
  <fills count="6">
    <fill>
      <patternFill patternType="none"/>
    </fill>
    <fill>
      <patternFill patternType="gray125"/>
    </fill>
    <fill>
      <patternFill patternType="solid">
        <fgColor rgb="FFFFF3CD"/>
        <bgColor rgb="FFE8EEF5"/>
      </patternFill>
    </fill>
    <fill>
      <patternFill patternType="solid">
        <fgColor rgb="FF1F3A5F"/>
        <bgColor rgb="FF333333"/>
      </patternFill>
    </fill>
    <fill>
      <patternFill patternType="solid">
        <fgColor rgb="FFE8EEF5"/>
        <bgColor rgb="FFD7E2EC"/>
      </patternFill>
    </fill>
    <fill>
      <patternFill patternType="solid">
        <fgColor rgb="FFD7E2EC"/>
        <bgColor rgb="FFE8EEF5"/>
      </patternFill>
    </fill>
  </fills>
  <borders count="2">
    <border diagonalUp="false" diagonalDown="false">
      <left/>
      <right/>
      <top/>
      <bottom/>
      <diagonal/>
    </border>
    <border diagonalUp="false" diagonalDown="false">
      <left style="thin">
        <color rgb="FFB0B0B0"/>
      </left>
      <right style="thin">
        <color rgb="FFB0B0B0"/>
      </right>
      <top style="thin">
        <color rgb="FFB0B0B0"/>
      </top>
      <bottom style="thin">
        <color rgb="FFB0B0B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left" vertical="center" textRotation="0" wrapText="true" indent="0" shrinkToFit="false"/>
      <protection locked="true" hidden="false"/>
    </xf>
    <xf numFmtId="164" fontId="5" fillId="0" borderId="0" xfId="0" applyFont="true" applyBorder="true" applyAlignment="true" applyProtection="false">
      <alignment horizontal="left" vertical="center" textRotation="0" wrapText="true" indent="0" shrinkToFit="false"/>
      <protection locked="true" hidden="false"/>
    </xf>
    <xf numFmtId="164" fontId="6" fillId="2" borderId="0" xfId="0" applyFont="true" applyBorder="true" applyAlignment="true" applyProtection="false">
      <alignment horizontal="left" vertical="center"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left" vertical="center" textRotation="0" wrapText="true" indent="0" shrinkToFit="false"/>
      <protection locked="true" hidden="false"/>
    </xf>
    <xf numFmtId="164" fontId="9" fillId="0" borderId="1" xfId="0" applyFont="true" applyBorder="true" applyAlignment="true" applyProtection="false">
      <alignment horizontal="left" vertical="center"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5" fontId="5" fillId="0" borderId="1" xfId="0" applyFont="true" applyBorder="true" applyAlignment="true" applyProtection="false">
      <alignment horizontal="center" vertical="center" textRotation="0" wrapText="true" indent="0" shrinkToFit="false"/>
      <protection locked="true" hidden="false"/>
    </xf>
    <xf numFmtId="164" fontId="12" fillId="0" borderId="1"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right" vertical="center" textRotation="0" wrapText="true" indent="0" shrinkToFit="false"/>
      <protection locked="true" hidden="false"/>
    </xf>
    <xf numFmtId="164" fontId="6" fillId="5" borderId="1" xfId="0" applyFont="true" applyBorder="true" applyAlignment="true" applyProtection="false">
      <alignment horizontal="left" vertical="center" textRotation="0" wrapText="true" indent="0" shrinkToFit="false"/>
      <protection locked="true" hidden="false"/>
    </xf>
    <xf numFmtId="164" fontId="5" fillId="5" borderId="1" xfId="0" applyFont="true" applyBorder="true" applyAlignment="true" applyProtection="false">
      <alignment horizontal="left" vertical="center" textRotation="0" wrapText="true" indent="0" shrinkToFit="false"/>
      <protection locked="true" hidden="false"/>
    </xf>
    <xf numFmtId="164" fontId="8" fillId="5" borderId="1" xfId="0" applyFont="true" applyBorder="true" applyAlignment="true" applyProtection="false">
      <alignment horizontal="center" vertical="center" textRotation="0" wrapText="true" indent="0" shrinkToFit="false"/>
      <protection locked="true" hidden="false"/>
    </xf>
    <xf numFmtId="165" fontId="8" fillId="5" borderId="1" xfId="0" applyFont="true" applyBorder="true" applyAlignment="true" applyProtection="false">
      <alignment horizontal="center" vertical="center" textRotation="0" wrapText="true" indent="0" shrinkToFit="false"/>
      <protection locked="true" hidden="false"/>
    </xf>
    <xf numFmtId="164" fontId="14" fillId="0" borderId="0" xfId="0" applyFont="true" applyBorder="true" applyAlignment="true" applyProtection="false">
      <alignment horizontal="left" vertical="center" textRotation="0" wrapText="true" indent="0" shrinkToFit="false"/>
      <protection locked="true" hidden="false"/>
    </xf>
    <xf numFmtId="164" fontId="5" fillId="0"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0B0B0"/>
      <rgbColor rgb="FF808080"/>
      <rgbColor rgb="FF9999FF"/>
      <rgbColor rgb="FF993366"/>
      <rgbColor rgb="FFFFF3CD"/>
      <rgbColor rgb="FFE8EEF5"/>
      <rgbColor rgb="FF660066"/>
      <rgbColor rgb="FFFF8080"/>
      <rgbColor rgb="FF0563C1"/>
      <rgbColor rgb="FFD7E2EC"/>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C75600"/>
      <rgbColor rgb="FF666666"/>
      <rgbColor rgb="FF999999"/>
      <rgbColor rgb="FF1F3A5F"/>
      <rgbColor rgb="FF339966"/>
      <rgbColor rgb="FF003300"/>
      <rgbColor rgb="FF333300"/>
      <rgbColor rgb="FFB050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50"/>
    <col collapsed="false" customWidth="true" hidden="false" outlineLevel="0" max="10" min="3" style="0" width="14"/>
  </cols>
  <sheetData>
    <row r="1" customFormat="false" ht="17.35" hidden="false" customHeight="true" outlineLevel="0" collapsed="false">
      <c r="A1" s="1" t="s">
        <v>0</v>
      </c>
      <c r="B1" s="1"/>
      <c r="C1" s="1"/>
      <c r="D1" s="1"/>
      <c r="E1" s="1"/>
      <c r="F1" s="1"/>
      <c r="G1" s="1"/>
      <c r="H1" s="1"/>
      <c r="I1" s="1"/>
      <c r="J1" s="1"/>
    </row>
    <row r="2" customFormat="false" ht="15" hidden="false" customHeight="true" outlineLevel="0" collapsed="false">
      <c r="A2" s="2" t="s">
        <v>1</v>
      </c>
      <c r="B2" s="2"/>
      <c r="C2" s="2"/>
      <c r="D2" s="2"/>
      <c r="E2" s="2"/>
      <c r="F2" s="2"/>
      <c r="G2" s="2"/>
      <c r="H2" s="2"/>
      <c r="I2" s="2"/>
      <c r="J2" s="2"/>
    </row>
    <row r="3" customFormat="false" ht="15" hidden="false" customHeight="true" outlineLevel="0" collapsed="false">
      <c r="A3" s="3" t="s">
        <v>2</v>
      </c>
      <c r="B3" s="3"/>
      <c r="C3" s="3"/>
      <c r="D3" s="3"/>
      <c r="E3" s="3"/>
      <c r="F3" s="3"/>
      <c r="G3" s="3"/>
      <c r="H3" s="3"/>
      <c r="I3" s="3"/>
      <c r="J3" s="3"/>
    </row>
    <row r="5" customFormat="false" ht="37.5" hidden="false" customHeight="true" outlineLevel="0" collapsed="false">
      <c r="A5" s="4" t="s">
        <v>3</v>
      </c>
      <c r="B5" s="4" t="s">
        <v>4</v>
      </c>
      <c r="C5" s="4" t="s">
        <v>5</v>
      </c>
      <c r="D5" s="4" t="s">
        <v>6</v>
      </c>
      <c r="E5" s="4" t="s">
        <v>7</v>
      </c>
      <c r="F5" s="4" t="s">
        <v>8</v>
      </c>
      <c r="G5" s="4" t="s">
        <v>9</v>
      </c>
      <c r="H5" s="4" t="s">
        <v>10</v>
      </c>
      <c r="I5" s="4" t="s">
        <v>11</v>
      </c>
      <c r="J5" s="4" t="s">
        <v>12</v>
      </c>
    </row>
    <row r="6" customFormat="false" ht="22.35" hidden="false" customHeight="false" outlineLevel="0" collapsed="false">
      <c r="A6" s="5" t="s">
        <v>13</v>
      </c>
      <c r="B6" s="6" t="s">
        <v>14</v>
      </c>
      <c r="C6" s="7" t="s">
        <v>15</v>
      </c>
      <c r="D6" s="8" t="n">
        <v>119</v>
      </c>
      <c r="E6" s="9" t="n">
        <v>3</v>
      </c>
      <c r="F6" s="10" t="n">
        <v>97</v>
      </c>
      <c r="G6" s="10" t="n">
        <v>17</v>
      </c>
      <c r="H6" s="11" t="n">
        <v>2</v>
      </c>
      <c r="I6" s="10"/>
      <c r="J6" s="12" t="n">
        <f aca="false">(G6+H6)/D6</f>
        <v>0.159663865546218</v>
      </c>
    </row>
    <row r="7" customFormat="false" ht="22.35" hidden="false" customHeight="false" outlineLevel="0" collapsed="false">
      <c r="A7" s="5" t="s">
        <v>16</v>
      </c>
      <c r="B7" s="6" t="s">
        <v>17</v>
      </c>
      <c r="C7" s="7" t="s">
        <v>15</v>
      </c>
      <c r="D7" s="8" t="n">
        <v>12</v>
      </c>
      <c r="E7" s="13" t="n">
        <v>0</v>
      </c>
      <c r="F7" s="10" t="n">
        <v>9</v>
      </c>
      <c r="G7" s="10" t="n">
        <v>2</v>
      </c>
      <c r="H7" s="11" t="n">
        <v>1</v>
      </c>
      <c r="I7" s="10"/>
      <c r="J7" s="12" t="n">
        <f aca="false">(G7+H7)/D7</f>
        <v>0.25</v>
      </c>
    </row>
    <row r="8" customFormat="false" ht="15" hidden="false" customHeight="false" outlineLevel="0" collapsed="false">
      <c r="A8" s="5" t="s">
        <v>18</v>
      </c>
      <c r="B8" s="6" t="s">
        <v>19</v>
      </c>
      <c r="C8" s="7" t="s">
        <v>15</v>
      </c>
      <c r="D8" s="8" t="n">
        <v>89</v>
      </c>
      <c r="E8" s="9" t="n">
        <v>75</v>
      </c>
      <c r="F8" s="10" t="n">
        <v>11</v>
      </c>
      <c r="G8" s="10" t="n">
        <v>2</v>
      </c>
      <c r="H8" s="11" t="n">
        <v>1</v>
      </c>
      <c r="I8" s="10"/>
      <c r="J8" s="12" t="n">
        <f aca="false">(G8+H8)/D8</f>
        <v>0.0337078651685393</v>
      </c>
    </row>
    <row r="9" customFormat="false" ht="15" hidden="false" customHeight="false" outlineLevel="0" collapsed="false">
      <c r="A9" s="5" t="s">
        <v>20</v>
      </c>
      <c r="B9" s="6" t="s">
        <v>21</v>
      </c>
      <c r="C9" s="7" t="s">
        <v>15</v>
      </c>
      <c r="D9" s="8" t="n">
        <v>2</v>
      </c>
      <c r="E9" s="9" t="n">
        <v>1</v>
      </c>
      <c r="F9" s="10" t="n">
        <v>1</v>
      </c>
      <c r="G9" s="10" t="n">
        <v>0</v>
      </c>
      <c r="H9" s="14" t="n">
        <v>0</v>
      </c>
      <c r="I9" s="10"/>
      <c r="J9" s="12" t="n">
        <f aca="false">(G9+H9)/D9</f>
        <v>0</v>
      </c>
    </row>
    <row r="10" customFormat="false" ht="15" hidden="false" customHeight="false" outlineLevel="0" collapsed="false">
      <c r="A10" s="5" t="s">
        <v>22</v>
      </c>
      <c r="B10" s="6" t="s">
        <v>23</v>
      </c>
      <c r="C10" s="7" t="s">
        <v>15</v>
      </c>
      <c r="D10" s="8" t="n">
        <v>137</v>
      </c>
      <c r="E10" s="9" t="n">
        <v>84</v>
      </c>
      <c r="F10" s="10" t="n">
        <v>35</v>
      </c>
      <c r="G10" s="10" t="n">
        <v>16</v>
      </c>
      <c r="H10" s="11" t="n">
        <v>2</v>
      </c>
      <c r="I10" s="10"/>
      <c r="J10" s="12" t="n">
        <f aca="false">(G10+H10)/D10</f>
        <v>0.131386861313869</v>
      </c>
    </row>
    <row r="11" customFormat="false" ht="22.35" hidden="false" customHeight="false" outlineLevel="0" collapsed="false">
      <c r="A11" s="5" t="s">
        <v>24</v>
      </c>
      <c r="B11" s="6" t="s">
        <v>25</v>
      </c>
      <c r="C11" s="7" t="s">
        <v>15</v>
      </c>
      <c r="D11" s="8" t="n">
        <v>0</v>
      </c>
      <c r="E11" s="13" t="n">
        <v>0</v>
      </c>
      <c r="F11" s="10" t="n">
        <v>0</v>
      </c>
      <c r="G11" s="10" t="n">
        <v>0</v>
      </c>
      <c r="H11" s="14" t="n">
        <v>0</v>
      </c>
      <c r="I11" s="10"/>
    </row>
    <row r="12" customFormat="false" ht="15" hidden="false" customHeight="false" outlineLevel="0" collapsed="false">
      <c r="A12" s="15" t="s">
        <v>26</v>
      </c>
      <c r="B12" s="16" t="s">
        <v>27</v>
      </c>
      <c r="C12" s="17"/>
      <c r="D12" s="18" t="n">
        <f aca="false">SUM(D6:D11)</f>
        <v>359</v>
      </c>
      <c r="E12" s="18" t="n">
        <f aca="false">SUM(E6:E11)</f>
        <v>163</v>
      </c>
      <c r="F12" s="18" t="n">
        <f aca="false">SUM(F6:F11)</f>
        <v>153</v>
      </c>
      <c r="G12" s="18" t="n">
        <f aca="false">SUM(G6:G11)</f>
        <v>37</v>
      </c>
      <c r="H12" s="18" t="n">
        <f aca="false">SUM(H6:H11)</f>
        <v>6</v>
      </c>
      <c r="I12" s="17"/>
      <c r="J12" s="19" t="n">
        <f aca="false">(G12+H12)/D12</f>
        <v>0.119777158774373</v>
      </c>
    </row>
    <row r="14" customFormat="false" ht="15" hidden="false" customHeight="true" outlineLevel="0" collapsed="false">
      <c r="A14" s="20" t="s">
        <v>28</v>
      </c>
      <c r="B14" s="20"/>
      <c r="C14" s="20"/>
      <c r="D14" s="20"/>
      <c r="E14" s="20"/>
      <c r="F14" s="20"/>
      <c r="G14" s="20"/>
      <c r="H14" s="20"/>
      <c r="I14" s="20"/>
      <c r="J14" s="20"/>
    </row>
    <row r="15" customFormat="false" ht="31.5" hidden="false" customHeight="true" outlineLevel="0" collapsed="false">
      <c r="A15" s="2" t="s">
        <v>29</v>
      </c>
      <c r="B15" s="2"/>
      <c r="C15" s="2"/>
      <c r="D15" s="2"/>
      <c r="E15" s="2"/>
      <c r="F15" s="2"/>
      <c r="G15" s="2"/>
      <c r="H15" s="2"/>
      <c r="I15" s="2"/>
      <c r="J15" s="2"/>
    </row>
    <row r="16" customFormat="false" ht="31.5" hidden="false" customHeight="true" outlineLevel="0" collapsed="false">
      <c r="A16" s="2" t="s">
        <v>30</v>
      </c>
      <c r="B16" s="2"/>
      <c r="C16" s="2"/>
      <c r="D16" s="2"/>
      <c r="E16" s="2"/>
      <c r="F16" s="2"/>
      <c r="G16" s="2"/>
      <c r="H16" s="2"/>
      <c r="I16" s="2"/>
      <c r="J16" s="2"/>
    </row>
    <row r="17" customFormat="false" ht="31.5" hidden="false" customHeight="true" outlineLevel="0" collapsed="false">
      <c r="A17" s="2" t="s">
        <v>31</v>
      </c>
      <c r="B17" s="2"/>
      <c r="C17" s="2"/>
      <c r="D17" s="2"/>
      <c r="E17" s="2"/>
      <c r="F17" s="2"/>
      <c r="G17" s="2"/>
      <c r="H17" s="2"/>
      <c r="I17" s="2"/>
      <c r="J17" s="2"/>
    </row>
    <row r="18" customFormat="false" ht="31.5" hidden="false" customHeight="true" outlineLevel="0" collapsed="false">
      <c r="A18" s="2" t="s">
        <v>32</v>
      </c>
      <c r="B18" s="2"/>
      <c r="C18" s="2"/>
      <c r="D18" s="2"/>
      <c r="E18" s="2"/>
      <c r="F18" s="2"/>
      <c r="G18" s="2"/>
      <c r="H18" s="2"/>
      <c r="I18" s="2"/>
      <c r="J18" s="2"/>
    </row>
    <row r="19" customFormat="false" ht="31.5" hidden="false" customHeight="true" outlineLevel="0" collapsed="false">
      <c r="A19" s="2" t="s">
        <v>33</v>
      </c>
      <c r="B19" s="2"/>
      <c r="C19" s="2"/>
      <c r="D19" s="2"/>
      <c r="E19" s="2"/>
      <c r="F19" s="2"/>
      <c r="G19" s="2"/>
      <c r="H19" s="2"/>
      <c r="I19" s="2"/>
      <c r="J19" s="2"/>
    </row>
    <row r="20" customFormat="false" ht="31.5" hidden="false" customHeight="true" outlineLevel="0" collapsed="false">
      <c r="A20" s="2" t="s">
        <v>34</v>
      </c>
      <c r="B20" s="2"/>
      <c r="C20" s="2"/>
      <c r="D20" s="2"/>
      <c r="E20" s="2"/>
      <c r="F20" s="2"/>
      <c r="G20" s="2"/>
      <c r="H20" s="2"/>
      <c r="I20" s="2"/>
      <c r="J20" s="2"/>
    </row>
  </sheetData>
  <mergeCells count="10">
    <mergeCell ref="A1:J1"/>
    <mergeCell ref="A2:J2"/>
    <mergeCell ref="A3:J3"/>
    <mergeCell ref="A14:J14"/>
    <mergeCell ref="A15:J15"/>
    <mergeCell ref="A16:J16"/>
    <mergeCell ref="A17:J17"/>
    <mergeCell ref="A18:J18"/>
    <mergeCell ref="A19:J19"/>
    <mergeCell ref="A20:J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7" min="2" style="0" width="14"/>
  </cols>
  <sheetData>
    <row r="1" customFormat="false" ht="17.35" hidden="false" customHeight="true" outlineLevel="0" collapsed="false">
      <c r="A1" s="1" t="s">
        <v>35</v>
      </c>
      <c r="B1" s="1"/>
      <c r="C1" s="1"/>
      <c r="D1" s="1"/>
      <c r="E1" s="1"/>
      <c r="F1" s="1"/>
      <c r="G1" s="1"/>
    </row>
    <row r="3" customFormat="false" ht="15" hidden="false" customHeight="false" outlineLevel="0" collapsed="false">
      <c r="A3" s="4" t="s">
        <v>3</v>
      </c>
      <c r="B3" s="4" t="s">
        <v>36</v>
      </c>
      <c r="C3" s="4" t="s">
        <v>8</v>
      </c>
      <c r="D3" s="4" t="s">
        <v>9</v>
      </c>
      <c r="E3" s="4" t="s">
        <v>10</v>
      </c>
      <c r="F3" s="4" t="s">
        <v>26</v>
      </c>
      <c r="G3" s="4" t="s">
        <v>37</v>
      </c>
    </row>
    <row r="4" customFormat="false" ht="15" hidden="false" customHeight="false" outlineLevel="0" collapsed="false">
      <c r="A4" s="5" t="s">
        <v>13</v>
      </c>
      <c r="B4" s="9" t="n">
        <v>3</v>
      </c>
      <c r="C4" s="10" t="n">
        <v>97</v>
      </c>
      <c r="D4" s="10" t="n">
        <v>17</v>
      </c>
      <c r="E4" s="11" t="n">
        <v>2</v>
      </c>
      <c r="F4" s="8" t="n">
        <v>119</v>
      </c>
      <c r="G4" s="12" t="n">
        <f aca="false">(C4+D4+E4)/F4</f>
        <v>0.974789915966387</v>
      </c>
    </row>
    <row r="5" customFormat="false" ht="15" hidden="false" customHeight="false" outlineLevel="0" collapsed="false">
      <c r="A5" s="5" t="s">
        <v>16</v>
      </c>
      <c r="B5" s="13" t="n">
        <v>0</v>
      </c>
      <c r="C5" s="10" t="n">
        <v>9</v>
      </c>
      <c r="D5" s="10" t="n">
        <v>2</v>
      </c>
      <c r="E5" s="11" t="n">
        <v>1</v>
      </c>
      <c r="F5" s="8" t="n">
        <v>12</v>
      </c>
      <c r="G5" s="12" t="n">
        <f aca="false">(C5+D5+E5)/F5</f>
        <v>1</v>
      </c>
    </row>
    <row r="6" customFormat="false" ht="15" hidden="false" customHeight="false" outlineLevel="0" collapsed="false">
      <c r="A6" s="5" t="s">
        <v>18</v>
      </c>
      <c r="B6" s="9" t="n">
        <v>75</v>
      </c>
      <c r="C6" s="10" t="n">
        <v>11</v>
      </c>
      <c r="D6" s="10" t="n">
        <v>2</v>
      </c>
      <c r="E6" s="11" t="n">
        <v>1</v>
      </c>
      <c r="F6" s="8" t="n">
        <v>89</v>
      </c>
      <c r="G6" s="12" t="n">
        <f aca="false">(C6+D6+E6)/F6</f>
        <v>0.157303370786517</v>
      </c>
    </row>
    <row r="7" customFormat="false" ht="15" hidden="false" customHeight="false" outlineLevel="0" collapsed="false">
      <c r="A7" s="5" t="s">
        <v>20</v>
      </c>
      <c r="B7" s="9" t="n">
        <v>1</v>
      </c>
      <c r="C7" s="10" t="n">
        <v>1</v>
      </c>
      <c r="D7" s="10" t="n">
        <v>0</v>
      </c>
      <c r="E7" s="14" t="n">
        <v>0</v>
      </c>
      <c r="F7" s="8" t="n">
        <v>2</v>
      </c>
      <c r="G7" s="12" t="n">
        <f aca="false">(C7+D7+E7)/F7</f>
        <v>0.5</v>
      </c>
    </row>
    <row r="8" customFormat="false" ht="15" hidden="false" customHeight="false" outlineLevel="0" collapsed="false">
      <c r="A8" s="5" t="s">
        <v>22</v>
      </c>
      <c r="B8" s="9" t="n">
        <v>84</v>
      </c>
      <c r="C8" s="10" t="n">
        <v>35</v>
      </c>
      <c r="D8" s="10" t="n">
        <v>16</v>
      </c>
      <c r="E8" s="11" t="n">
        <v>2</v>
      </c>
      <c r="F8" s="8" t="n">
        <v>137</v>
      </c>
      <c r="G8" s="12" t="n">
        <f aca="false">(C8+D8+E8)/F8</f>
        <v>0.386861313868613</v>
      </c>
    </row>
    <row r="9" customFormat="false" ht="15" hidden="false" customHeight="false" outlineLevel="0" collapsed="false">
      <c r="A9" s="5" t="s">
        <v>24</v>
      </c>
      <c r="B9" s="13" t="n">
        <v>0</v>
      </c>
      <c r="C9" s="10" t="n">
        <v>0</v>
      </c>
      <c r="D9" s="10" t="n">
        <v>0</v>
      </c>
      <c r="E9" s="14" t="n">
        <v>0</v>
      </c>
      <c r="F9" s="8" t="n">
        <v>0</v>
      </c>
    </row>
    <row r="10" customFormat="false" ht="15" hidden="false" customHeight="false" outlineLevel="0" collapsed="false">
      <c r="A10" s="15" t="s">
        <v>38</v>
      </c>
      <c r="B10" s="18" t="n">
        <f aca="false">SUM(B4:B9)</f>
        <v>163</v>
      </c>
      <c r="C10" s="18" t="n">
        <f aca="false">SUM(C4:C9)</f>
        <v>153</v>
      </c>
      <c r="D10" s="18" t="n">
        <f aca="false">SUM(D4:D9)</f>
        <v>37</v>
      </c>
      <c r="E10" s="18" t="n">
        <f aca="false">SUM(E4:E9)</f>
        <v>6</v>
      </c>
      <c r="F10" s="18" t="n">
        <f aca="false">SUM(F4:F9)</f>
        <v>359</v>
      </c>
      <c r="G10" s="19" t="n">
        <f aca="false">(C10+D10+E10)/F10</f>
        <v>0.545961002785515</v>
      </c>
    </row>
    <row r="12" customFormat="false" ht="15" hidden="false" customHeight="true" outlineLevel="0" collapsed="false">
      <c r="A12" s="20" t="s">
        <v>39</v>
      </c>
      <c r="B12" s="20"/>
      <c r="C12" s="20"/>
      <c r="D12" s="20"/>
      <c r="E12" s="20"/>
      <c r="F12" s="20"/>
      <c r="G12" s="20"/>
    </row>
    <row r="13" customFormat="false" ht="24" hidden="false" customHeight="true" outlineLevel="0" collapsed="false">
      <c r="A13" s="2" t="s">
        <v>40</v>
      </c>
      <c r="B13" s="2"/>
      <c r="C13" s="2"/>
      <c r="D13" s="2"/>
      <c r="E13" s="2"/>
      <c r="F13" s="2"/>
      <c r="G13" s="2"/>
    </row>
    <row r="14" customFormat="false" ht="24" hidden="false" customHeight="true" outlineLevel="0" collapsed="false">
      <c r="A14" s="2" t="s">
        <v>41</v>
      </c>
      <c r="B14" s="2"/>
      <c r="C14" s="2"/>
      <c r="D14" s="2"/>
      <c r="E14" s="2"/>
      <c r="F14" s="2"/>
      <c r="G14" s="2"/>
    </row>
    <row r="15" customFormat="false" ht="24" hidden="false" customHeight="true" outlineLevel="0" collapsed="false">
      <c r="A15" s="2" t="s">
        <v>42</v>
      </c>
      <c r="B15" s="2"/>
      <c r="C15" s="2"/>
      <c r="D15" s="2"/>
      <c r="E15" s="2"/>
      <c r="F15" s="2"/>
      <c r="G15" s="2"/>
    </row>
    <row r="16" customFormat="false" ht="24" hidden="false" customHeight="true" outlineLevel="0" collapsed="false">
      <c r="A16" s="2" t="s">
        <v>43</v>
      </c>
      <c r="B16" s="2"/>
      <c r="C16" s="2"/>
      <c r="D16" s="2"/>
      <c r="E16" s="2"/>
      <c r="F16" s="2"/>
      <c r="G16" s="2"/>
    </row>
    <row r="17" customFormat="false" ht="24" hidden="false" customHeight="true" outlineLevel="0" collapsed="false">
      <c r="A17" s="2" t="s">
        <v>44</v>
      </c>
      <c r="B17" s="2"/>
      <c r="C17" s="2"/>
      <c r="D17" s="2"/>
      <c r="E17" s="2"/>
      <c r="F17" s="2"/>
      <c r="G17" s="2"/>
    </row>
    <row r="18" customFormat="false" ht="24" hidden="false" customHeight="true" outlineLevel="0" collapsed="false">
      <c r="A18" s="2" t="s">
        <v>45</v>
      </c>
      <c r="B18" s="2"/>
      <c r="C18" s="2"/>
      <c r="D18" s="2"/>
      <c r="E18" s="2"/>
      <c r="F18" s="2"/>
      <c r="G18" s="2"/>
    </row>
  </sheetData>
  <mergeCells count="8">
    <mergeCell ref="A1:G1"/>
    <mergeCell ref="A12:G12"/>
    <mergeCell ref="A13:G13"/>
    <mergeCell ref="A14:G14"/>
    <mergeCell ref="A15:G15"/>
    <mergeCell ref="A16:G16"/>
    <mergeCell ref="A17:G17"/>
    <mergeCell ref="A18:G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4"/>
    <col collapsed="false" customWidth="true" hidden="false" outlineLevel="0" max="2" min="2" style="0" width="80"/>
    <col collapsed="false" customWidth="true" hidden="false" outlineLevel="0" max="3" min="3" style="0" width="14"/>
  </cols>
  <sheetData>
    <row r="1" customFormat="false" ht="17.35" hidden="false" customHeight="true" outlineLevel="0" collapsed="false">
      <c r="A1" s="1" t="s">
        <v>46</v>
      </c>
      <c r="B1" s="1"/>
      <c r="C1" s="1"/>
    </row>
    <row r="3" customFormat="false" ht="15" hidden="false" customHeight="false" outlineLevel="0" collapsed="false">
      <c r="A3" s="4" t="s">
        <v>3</v>
      </c>
      <c r="B3" s="4" t="s">
        <v>47</v>
      </c>
      <c r="C3" s="4" t="s">
        <v>48</v>
      </c>
    </row>
    <row r="4" customFormat="false" ht="15" hidden="false" customHeight="false" outlineLevel="0" collapsed="false">
      <c r="A4" s="5" t="s">
        <v>13</v>
      </c>
      <c r="B4" s="21" t="s">
        <v>49</v>
      </c>
      <c r="C4" s="10" t="s">
        <v>50</v>
      </c>
    </row>
    <row r="5" customFormat="false" ht="15" hidden="false" customHeight="false" outlineLevel="0" collapsed="false">
      <c r="A5" s="5" t="s">
        <v>13</v>
      </c>
      <c r="B5" s="21" t="s">
        <v>51</v>
      </c>
      <c r="C5" s="10" t="s">
        <v>52</v>
      </c>
    </row>
    <row r="6" customFormat="false" ht="23.85" hidden="false" customHeight="false" outlineLevel="0" collapsed="false">
      <c r="A6" s="5" t="s">
        <v>16</v>
      </c>
      <c r="B6" s="21" t="s">
        <v>53</v>
      </c>
      <c r="C6" s="10" t="s">
        <v>54</v>
      </c>
    </row>
    <row r="7" customFormat="false" ht="15" hidden="false" customHeight="false" outlineLevel="0" collapsed="false">
      <c r="A7" s="5" t="s">
        <v>22</v>
      </c>
      <c r="B7" s="21" t="s">
        <v>55</v>
      </c>
      <c r="C7" s="10" t="s">
        <v>56</v>
      </c>
    </row>
    <row r="8" customFormat="false" ht="15" hidden="false" customHeight="false" outlineLevel="0" collapsed="false">
      <c r="A8" s="5" t="s">
        <v>22</v>
      </c>
      <c r="B8" s="21" t="s">
        <v>57</v>
      </c>
      <c r="C8" s="10" t="s">
        <v>58</v>
      </c>
    </row>
    <row r="9" customFormat="false" ht="23.85" hidden="false" customHeight="false" outlineLevel="0" collapsed="false">
      <c r="A9" s="5" t="s">
        <v>18</v>
      </c>
      <c r="B9" s="21" t="s">
        <v>59</v>
      </c>
      <c r="C9" s="10" t="s">
        <v>58</v>
      </c>
    </row>
  </sheetData>
  <mergeCells count="1">
    <mergeCell ref="A1: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2026-05-24T08:36:19Z</dcterms:created>
  <dc:creator>openpyxl</dc:creator>
  <dc:description/>
  <dc:language>en-US</dc:language>
  <cp:lastModifiedBy/>
  <dcterms:modified xsi:type="dcterms:W3CDTF">2026-05-24T08:36:19Z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